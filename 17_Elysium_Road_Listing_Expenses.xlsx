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 Expenses" sheetId="1" state="visible" r:id="rId3"/>
  </sheets>
  <definedNames>
    <definedName function="false" hidden="false" localSheetId="0" name="_xlnm.Print_Area" vbProcedure="false">'Listing Expenses'!$A$1:$H$36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<sst xmlns="http://schemas.openxmlformats.org/spreadsheetml/2006/main" count="81" uniqueCount="61">
  <si>
    <t xml:space="preserve">17 Elysium Road, Rochedale South QLD 4123</t>
  </si>
  <si>
    <t xml:space="preserve">Listing Expenses  —  Marketing &amp; Presentation Costs</t>
  </si>
  <si>
    <t xml:space="preserve">Vendor:</t>
  </si>
  <si>
    <t xml:space="preserve">Peter McDermott (POA for Wendy Rozworski)</t>
  </si>
  <si>
    <t xml:space="preserve">Prepared by:</t>
  </si>
  <si>
    <t xml:space="preserve">Greg Leigh, Queensland Sotheby's Int'l Realty</t>
  </si>
  <si>
    <t xml:space="preserve">Campaign start:</t>
  </si>
  <si>
    <t xml:space="preserve">30 June 2026</t>
  </si>
  <si>
    <t xml:space="preserve">Report date:</t>
  </si>
  <si>
    <t xml:space="preserve">20 July 2026</t>
  </si>
  <si>
    <t xml:space="preserve">EXPENSE SUMMARY</t>
  </si>
  <si>
    <t xml:space="preserve">Category</t>
  </si>
  <si>
    <t xml:space="preserve">Supplier</t>
  </si>
  <si>
    <t xml:space="preserve">Invoice</t>
  </si>
  <si>
    <t xml:space="preserve">Date Paid</t>
  </si>
  <si>
    <t xml:space="preserve">Net (excl GST)</t>
  </si>
  <si>
    <t xml:space="preserve">GST</t>
  </si>
  <si>
    <t xml:space="preserve">Total (inc GST)</t>
  </si>
  <si>
    <t xml:space="preserve">Status</t>
  </si>
  <si>
    <t xml:space="preserve">Marketing campaign</t>
  </si>
  <si>
    <t xml:space="preserve">Queensland Sotheby's Int'l Realty</t>
  </si>
  <si>
    <t xml:space="preserve">1P6031</t>
  </si>
  <si>
    <t xml:space="preserve">13 Jul 2026</t>
  </si>
  <si>
    <t xml:space="preserve">✓ PAID</t>
  </si>
  <si>
    <t xml:space="preserve">Packing &amp; presentation materials</t>
  </si>
  <si>
    <t xml:space="preserve">Storage King Cleveland</t>
  </si>
  <si>
    <t xml:space="preserve">004278</t>
  </si>
  <si>
    <t xml:space="preserve">18 Jun 2026</t>
  </si>
  <si>
    <t xml:space="preserve">TOTAL LISTING EXPENSES TO DATE</t>
  </si>
  <si>
    <t xml:space="preserve">MARKETING CAMPAIGN  —  Invoice 1P6031 (Queensland Sotheby's International Realty)</t>
  </si>
  <si>
    <t xml:space="preserve">Campaign Item</t>
  </si>
  <si>
    <t xml:space="preserve">Date</t>
  </si>
  <si>
    <t xml:space="preserve">Amount</t>
  </si>
  <si>
    <t xml:space="preserve">Premiere+ (Unlimited) — realestate.com.au premium listing</t>
  </si>
  <si>
    <t xml:space="preserve">12 Jun 2026</t>
  </si>
  <si>
    <t xml:space="preserve">—</t>
  </si>
  <si>
    <t xml:space="preserve">In House Social — social media campaign</t>
  </si>
  <si>
    <t xml:space="preserve">REA Audience Maximiser — Dream Home</t>
  </si>
  <si>
    <t xml:space="preserve">Design Management Fee</t>
  </si>
  <si>
    <t xml:space="preserve">Image, Plan &amp; Video — photography, floorplan &amp; video</t>
  </si>
  <si>
    <t xml:space="preserve">Form 2 — disclosure statement</t>
  </si>
  <si>
    <t xml:space="preserve">17 Jun 2026</t>
  </si>
  <si>
    <t xml:space="preserve">Campaign package total (inc GST)</t>
  </si>
  <si>
    <t xml:space="preserve">Note: Marketing is billed as a campaign package; individual components are not separately priced on the tax invoice. Invoice paid in full (balance $0.00).</t>
  </si>
  <si>
    <t xml:space="preserve">PACKING &amp; PRESENTATION MATERIALS  —  Invoice 004278 (Storage King Cleveland, 18 Jun 2026)</t>
  </si>
  <si>
    <t xml:space="preserve">Item</t>
  </si>
  <si>
    <t xml:space="preserve">Qty</t>
  </si>
  <si>
    <t xml:space="preserve">Per Item (inc GST)</t>
  </si>
  <si>
    <t xml:space="preserve">Box — XL Heavy Duty</t>
  </si>
  <si>
    <t xml:space="preserve">Boxes &amp; Cartons</t>
  </si>
  <si>
    <t xml:space="preserve">Box — Book Lite Duty</t>
  </si>
  <si>
    <t xml:space="preserve">Cover — Glass Sock 20pk</t>
  </si>
  <si>
    <t xml:space="preserve">Wrapping &amp; Covers</t>
  </si>
  <si>
    <t xml:space="preserve">Tape — Packing Clear 75M</t>
  </si>
  <si>
    <t xml:space="preserve">Tape &amp; Stationery</t>
  </si>
  <si>
    <t xml:space="preserve">Tape Gun (Boxed)</t>
  </si>
  <si>
    <t xml:space="preserve">Tape — Coloured Room 4PK</t>
  </si>
  <si>
    <t xml:space="preserve">Pen — Black Marking</t>
  </si>
  <si>
    <t xml:space="preserve">Stickers — Fragile 10 Pack</t>
  </si>
  <si>
    <t xml:space="preserve">Subtotal</t>
  </si>
  <si>
    <t xml:space="preserve">All amounts in AUD and GST-inclusive where stated. Both invoices have been paid in full by the vendor (Peter McDermott) — nothing further owing. Prepared for vendor reporting — Queensland Sotheby's International Realty.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</si>
</sst>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7A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BE7B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8"/>
      <color rgb="FF5A5A5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2E4D7B"/>
        <bgColor rgb="FF1F3864"/>
      </patternFill>
    </fill>
    <fill>
      <patternFill patternType="solid">
        <fgColor rgb="FFB08D57"/>
        <bgColor rgb="FF808080"/>
      </patternFill>
    </fill>
    <fill>
      <patternFill patternType="solid">
        <fgColor rgb="FFE4F2E7"/>
        <bgColor rgb="FFE6E9EF"/>
      </patternFill>
    </fill>
    <fill>
      <patternFill patternType="solid">
        <fgColor rgb="FFF2F4F7"/>
        <bgColor rgb="FFE4F2E7"/>
      </patternFill>
    </fill>
    <fill>
      <patternFill patternType="solid">
        <fgColor rgb="FFFFFFFF"/>
        <bgColor rgb="FFF2F4F7"/>
      </patternFill>
    </fill>
    <fill>
      <patternFill patternType="solid">
        <fgColor rgb="FFE6E9EF"/>
        <bgColor rgb="FFE4F2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CCD6"/>
      </left>
      <right style="thin">
        <color rgb="FFC7CCD6"/>
      </right>
      <top style="thin">
        <color rgb="FFC7CCD6"/>
      </top>
      <bottom style="thin">
        <color rgb="FFC7CCD6"/>
      </bottom>
      <diagonal/>
    </border>
    <border diagonalUp="false" diagonalDown="false">
      <left style="thin">
        <color rgb="FFC7CCD6"/>
      </left>
      <right style="thin">
        <color rgb="FFC7CCD6"/>
      </right>
      <top style="medium">
        <color rgb="FF1F3864"/>
      </top>
      <bottom style="thin">
        <color rgb="FFC7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C7CCD6"/>
      <rgbColor rgb="FF808080"/>
      <rgbColor rgb="FF9999FF"/>
      <rgbColor rgb="FF993366"/>
      <rgbColor rgb="FFF2F4F7"/>
      <rgbColor rgb="FFE4F2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9EF"/>
      <rgbColor rgb="FFCCFFCC"/>
      <rgbColor rgb="FFFFFF99"/>
      <rgbColor rgb="FF9BE7B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B08D57"/>
      <rgbColor rgb="FF1F3864"/>
      <rgbColor rgb="FF339966"/>
      <rgbColor rgb="FF003300"/>
      <rgbColor rgb="FF333300"/>
      <rgbColor rgb="FF993300"/>
      <rgbColor rgb="FF993366"/>
      <rgbColor rgb="FF2E4D7B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.75" hidden="false" customHeight="true" outlineLevel="0" collapsed="false">
      <c r="A4" s="4" t="s">
        <v>2</v>
      </c>
      <c r="B4" s="5" t="s">
        <v>3</v>
      </c>
      <c r="C4" s="5"/>
      <c r="D4" s="5"/>
      <c r="E4" s="4" t="s">
        <v>4</v>
      </c>
      <c r="F4" s="5" t="s">
        <v>5</v>
      </c>
      <c r="G4" s="5"/>
      <c r="H4" s="5"/>
    </row>
    <row r="5" customFormat="false" ht="15.75" hidden="false" customHeight="true" outlineLevel="0" collapsed="false">
      <c r="A5" s="4" t="s">
        <v>6</v>
      </c>
      <c r="B5" s="6" t="s">
        <v>7</v>
      </c>
      <c r="E5" s="4" t="s">
        <v>8</v>
      </c>
      <c r="F5" s="6" t="s">
        <v>9</v>
      </c>
    </row>
    <row r="6" customFormat="false" ht="6" hidden="false" customHeight="true" outlineLevel="0" collapsed="false"/>
    <row r="7" customFormat="false" ht="21.75" hidden="false" customHeight="true" outlineLevel="0" collapsed="false">
      <c r="A7" s="7" t="s">
        <v>10</v>
      </c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8" t="s">
        <v>11</v>
      </c>
      <c r="B8" s="8" t="s">
        <v>12</v>
      </c>
      <c r="C8" s="9" t="s">
        <v>13</v>
      </c>
      <c r="D8" s="9" t="s">
        <v>14</v>
      </c>
      <c r="E8" s="10" t="s">
        <v>15</v>
      </c>
      <c r="F8" s="10" t="s">
        <v>16</v>
      </c>
      <c r="G8" s="10" t="s">
        <v>17</v>
      </c>
      <c r="H8" s="9" t="s">
        <v>18</v>
      </c>
    </row>
    <row r="9" customFormat="false" ht="15" hidden="false" customHeight="false" outlineLevel="0" collapsed="false">
      <c r="A9" s="11" t="s">
        <v>19</v>
      </c>
      <c r="B9" s="11" t="s">
        <v>20</v>
      </c>
      <c r="C9" s="12" t="s">
        <v>21</v>
      </c>
      <c r="D9" s="12" t="s">
        <v>22</v>
      </c>
      <c r="E9" s="13" t="n">
        <v>5120.01</v>
      </c>
      <c r="F9" s="13" t="n">
        <v>511.99</v>
      </c>
      <c r="G9" s="13" t="n">
        <f aca="false">E9+F9</f>
        <v>5632</v>
      </c>
      <c r="H9" s="14" t="s">
        <v>23</v>
      </c>
    </row>
    <row r="10" customFormat="false" ht="15" hidden="false" customHeight="false" outlineLevel="0" collapsed="false">
      <c r="A10" s="11" t="s">
        <v>24</v>
      </c>
      <c r="B10" s="11" t="s">
        <v>25</v>
      </c>
      <c r="C10" s="12" t="s">
        <v>26</v>
      </c>
      <c r="D10" s="12" t="s">
        <v>27</v>
      </c>
      <c r="E10" s="13" t="n">
        <f aca="false">E34</f>
        <v>126.76</v>
      </c>
      <c r="F10" s="13" t="n">
        <f aca="false">F34</f>
        <v>11.89</v>
      </c>
      <c r="G10" s="13" t="n">
        <f aca="false">E10+F10</f>
        <v>138.65</v>
      </c>
      <c r="H10" s="14" t="s">
        <v>23</v>
      </c>
    </row>
    <row r="11" customFormat="false" ht="15" hidden="false" customHeight="false" outlineLevel="0" collapsed="false">
      <c r="A11" s="15" t="s">
        <v>28</v>
      </c>
      <c r="B11" s="15"/>
      <c r="C11" s="15"/>
      <c r="D11" s="15"/>
      <c r="E11" s="16" t="n">
        <f aca="false">SUM(E9:E10)</f>
        <v>5246.77</v>
      </c>
      <c r="F11" s="16" t="n">
        <f aca="false">SUM(F9:F10)</f>
        <v>523.88</v>
      </c>
      <c r="G11" s="16" t="n">
        <f aca="false">SUM(G9:G10)</f>
        <v>5770.65</v>
      </c>
      <c r="H11" s="17" t="s">
        <v>23</v>
      </c>
    </row>
    <row r="13" customFormat="false" ht="21.75" hidden="false" customHeight="true" outlineLevel="0" collapsed="false">
      <c r="A13" s="7" t="s">
        <v>29</v>
      </c>
      <c r="B13" s="7"/>
      <c r="C13" s="7"/>
      <c r="D13" s="7"/>
      <c r="E13" s="7"/>
      <c r="F13" s="7"/>
      <c r="G13" s="7"/>
      <c r="H13" s="7"/>
    </row>
    <row r="14" customFormat="false" ht="15" hidden="false" customHeight="true" outlineLevel="0" collapsed="false">
      <c r="A14" s="8" t="s">
        <v>30</v>
      </c>
      <c r="B14" s="8"/>
      <c r="C14" s="8"/>
      <c r="D14" s="8"/>
      <c r="E14" s="8"/>
      <c r="F14" s="8"/>
      <c r="G14" s="9" t="s">
        <v>31</v>
      </c>
      <c r="H14" s="10" t="s">
        <v>32</v>
      </c>
    </row>
    <row r="15" customFormat="false" ht="15" hidden="false" customHeight="true" outlineLevel="0" collapsed="false">
      <c r="A15" s="18" t="s">
        <v>33</v>
      </c>
      <c r="B15" s="18"/>
      <c r="C15" s="18"/>
      <c r="D15" s="18"/>
      <c r="E15" s="18"/>
      <c r="F15" s="18"/>
      <c r="G15" s="19" t="s">
        <v>34</v>
      </c>
      <c r="H15" s="20" t="s">
        <v>35</v>
      </c>
    </row>
    <row r="16" customFormat="false" ht="15" hidden="false" customHeight="true" outlineLevel="0" collapsed="false">
      <c r="A16" s="21" t="s">
        <v>36</v>
      </c>
      <c r="B16" s="21"/>
      <c r="C16" s="21"/>
      <c r="D16" s="21"/>
      <c r="E16" s="21"/>
      <c r="F16" s="21"/>
      <c r="G16" s="22" t="s">
        <v>34</v>
      </c>
      <c r="H16" s="23" t="s">
        <v>35</v>
      </c>
    </row>
    <row r="17" customFormat="false" ht="15" hidden="false" customHeight="true" outlineLevel="0" collapsed="false">
      <c r="A17" s="18" t="s">
        <v>37</v>
      </c>
      <c r="B17" s="18"/>
      <c r="C17" s="18"/>
      <c r="D17" s="18"/>
      <c r="E17" s="18"/>
      <c r="F17" s="18"/>
      <c r="G17" s="19" t="s">
        <v>34</v>
      </c>
      <c r="H17" s="20" t="s">
        <v>35</v>
      </c>
    </row>
    <row r="18" customFormat="false" ht="15" hidden="false" customHeight="true" outlineLevel="0" collapsed="false">
      <c r="A18" s="21" t="s">
        <v>38</v>
      </c>
      <c r="B18" s="21"/>
      <c r="C18" s="21"/>
      <c r="D18" s="21"/>
      <c r="E18" s="21"/>
      <c r="F18" s="21"/>
      <c r="G18" s="22" t="s">
        <v>34</v>
      </c>
      <c r="H18" s="23" t="s">
        <v>35</v>
      </c>
    </row>
    <row r="19" customFormat="false" ht="15" hidden="false" customHeight="true" outlineLevel="0" collapsed="false">
      <c r="A19" s="18" t="s">
        <v>39</v>
      </c>
      <c r="B19" s="18"/>
      <c r="C19" s="18"/>
      <c r="D19" s="18"/>
      <c r="E19" s="18"/>
      <c r="F19" s="18"/>
      <c r="G19" s="19" t="s">
        <v>34</v>
      </c>
      <c r="H19" s="20" t="s">
        <v>35</v>
      </c>
    </row>
    <row r="20" customFormat="false" ht="15" hidden="false" customHeight="true" outlineLevel="0" collapsed="false">
      <c r="A20" s="21" t="s">
        <v>40</v>
      </c>
      <c r="B20" s="21"/>
      <c r="C20" s="21"/>
      <c r="D20" s="21"/>
      <c r="E20" s="21"/>
      <c r="F20" s="21"/>
      <c r="G20" s="22" t="s">
        <v>41</v>
      </c>
      <c r="H20" s="23" t="s">
        <v>35</v>
      </c>
    </row>
    <row r="21" customFormat="false" ht="15" hidden="false" customHeight="false" outlineLevel="0" collapsed="false">
      <c r="A21" s="24" t="s">
        <v>42</v>
      </c>
      <c r="B21" s="24"/>
      <c r="C21" s="24"/>
      <c r="D21" s="24"/>
      <c r="E21" s="24"/>
      <c r="F21" s="24"/>
      <c r="G21" s="24"/>
      <c r="H21" s="25" t="n">
        <f aca="false">G9</f>
        <v>5632</v>
      </c>
    </row>
    <row r="22" customFormat="false" ht="25.5" hidden="false" customHeight="true" outlineLevel="0" collapsed="false">
      <c r="A22" s="26" t="s">
        <v>43</v>
      </c>
      <c r="B22" s="26"/>
      <c r="C22" s="26"/>
      <c r="D22" s="26"/>
      <c r="E22" s="26"/>
      <c r="F22" s="26"/>
      <c r="G22" s="26"/>
      <c r="H22" s="26"/>
    </row>
    <row r="24" customFormat="false" ht="21.75" hidden="false" customHeight="true" outlineLevel="0" collapsed="false">
      <c r="A24" s="7" t="s">
        <v>44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8" t="s">
        <v>45</v>
      </c>
      <c r="B25" s="8" t="s">
        <v>11</v>
      </c>
      <c r="C25" s="9" t="s">
        <v>46</v>
      </c>
      <c r="D25" s="10" t="s">
        <v>47</v>
      </c>
      <c r="E25" s="10" t="s">
        <v>15</v>
      </c>
      <c r="F25" s="10" t="s">
        <v>16</v>
      </c>
      <c r="G25" s="10" t="s">
        <v>17</v>
      </c>
      <c r="H25" s="9"/>
    </row>
    <row r="26" customFormat="false" ht="15" hidden="false" customHeight="false" outlineLevel="0" collapsed="false">
      <c r="A26" s="18" t="s">
        <v>48</v>
      </c>
      <c r="B26" s="18" t="s">
        <v>49</v>
      </c>
      <c r="C26" s="19" t="n">
        <v>14</v>
      </c>
      <c r="D26" s="27" t="n">
        <v>5.5</v>
      </c>
      <c r="E26" s="27" t="n">
        <v>70</v>
      </c>
      <c r="F26" s="27" t="n">
        <v>7</v>
      </c>
      <c r="G26" s="27" t="n">
        <f aca="false">E26+F26</f>
        <v>77</v>
      </c>
      <c r="H26" s="20"/>
    </row>
    <row r="27" customFormat="false" ht="15" hidden="false" customHeight="false" outlineLevel="0" collapsed="false">
      <c r="A27" s="21" t="s">
        <v>50</v>
      </c>
      <c r="B27" s="21" t="s">
        <v>49</v>
      </c>
      <c r="C27" s="22" t="n">
        <v>4</v>
      </c>
      <c r="D27" s="28" t="n">
        <v>3.5</v>
      </c>
      <c r="E27" s="28" t="n">
        <v>12.73</v>
      </c>
      <c r="F27" s="28" t="n">
        <v>1.27</v>
      </c>
      <c r="G27" s="28" t="n">
        <f aca="false">E27+F27</f>
        <v>14</v>
      </c>
      <c r="H27" s="23"/>
    </row>
    <row r="28" customFormat="false" ht="15" hidden="false" customHeight="false" outlineLevel="0" collapsed="false">
      <c r="A28" s="18" t="s">
        <v>51</v>
      </c>
      <c r="B28" s="18" t="s">
        <v>52</v>
      </c>
      <c r="C28" s="19" t="n">
        <v>2</v>
      </c>
      <c r="D28" s="27" t="n">
        <v>3.95</v>
      </c>
      <c r="E28" s="27" t="n">
        <v>7.9</v>
      </c>
      <c r="F28" s="27" t="n">
        <v>0</v>
      </c>
      <c r="G28" s="27" t="n">
        <f aca="false">E28+F28</f>
        <v>7.9</v>
      </c>
      <c r="H28" s="20"/>
    </row>
    <row r="29" customFormat="false" ht="15" hidden="false" customHeight="false" outlineLevel="0" collapsed="false">
      <c r="A29" s="21" t="s">
        <v>53</v>
      </c>
      <c r="B29" s="21" t="s">
        <v>54</v>
      </c>
      <c r="C29" s="22" t="n">
        <v>1</v>
      </c>
      <c r="D29" s="28" t="n">
        <v>3.95</v>
      </c>
      <c r="E29" s="28" t="n">
        <v>3.59</v>
      </c>
      <c r="F29" s="28" t="n">
        <v>0.36</v>
      </c>
      <c r="G29" s="28" t="n">
        <f aca="false">E29+F29</f>
        <v>3.95</v>
      </c>
      <c r="H29" s="23"/>
    </row>
    <row r="30" customFormat="false" ht="15" hidden="false" customHeight="false" outlineLevel="0" collapsed="false">
      <c r="A30" s="18" t="s">
        <v>55</v>
      </c>
      <c r="B30" s="18" t="s">
        <v>54</v>
      </c>
      <c r="C30" s="19" t="n">
        <v>1</v>
      </c>
      <c r="D30" s="27" t="n">
        <v>17.95</v>
      </c>
      <c r="E30" s="27" t="n">
        <v>16.32</v>
      </c>
      <c r="F30" s="27" t="n">
        <v>1.63</v>
      </c>
      <c r="G30" s="27" t="n">
        <f aca="false">E30+F30</f>
        <v>17.95</v>
      </c>
      <c r="H30" s="20"/>
    </row>
    <row r="31" customFormat="false" ht="15" hidden="false" customHeight="false" outlineLevel="0" collapsed="false">
      <c r="A31" s="21" t="s">
        <v>56</v>
      </c>
      <c r="B31" s="21" t="s">
        <v>54</v>
      </c>
      <c r="C31" s="22" t="n">
        <v>1</v>
      </c>
      <c r="D31" s="28" t="n">
        <v>12.95</v>
      </c>
      <c r="E31" s="28" t="n">
        <v>11.77</v>
      </c>
      <c r="F31" s="28" t="n">
        <v>1.18</v>
      </c>
      <c r="G31" s="28" t="n">
        <f aca="false">E31+F31</f>
        <v>12.95</v>
      </c>
      <c r="H31" s="23"/>
    </row>
    <row r="32" customFormat="false" ht="15" hidden="false" customHeight="false" outlineLevel="0" collapsed="false">
      <c r="A32" s="18" t="s">
        <v>57</v>
      </c>
      <c r="B32" s="18" t="s">
        <v>54</v>
      </c>
      <c r="C32" s="19" t="n">
        <v>1</v>
      </c>
      <c r="D32" s="27" t="n">
        <v>2.95</v>
      </c>
      <c r="E32" s="27" t="n">
        <v>2.68</v>
      </c>
      <c r="F32" s="27" t="n">
        <v>0.27</v>
      </c>
      <c r="G32" s="27" t="n">
        <f aca="false">E32+F32</f>
        <v>2.95</v>
      </c>
      <c r="H32" s="20"/>
    </row>
    <row r="33" customFormat="false" ht="15" hidden="false" customHeight="false" outlineLevel="0" collapsed="false">
      <c r="A33" s="21" t="s">
        <v>58</v>
      </c>
      <c r="B33" s="21" t="s">
        <v>54</v>
      </c>
      <c r="C33" s="22" t="n">
        <v>1</v>
      </c>
      <c r="D33" s="28" t="n">
        <v>1.95</v>
      </c>
      <c r="E33" s="28" t="n">
        <v>1.77</v>
      </c>
      <c r="F33" s="28" t="n">
        <v>0.18</v>
      </c>
      <c r="G33" s="28" t="n">
        <f aca="false">E33+F33</f>
        <v>1.95</v>
      </c>
      <c r="H33" s="23"/>
    </row>
    <row r="34" customFormat="false" ht="15" hidden="false" customHeight="false" outlineLevel="0" collapsed="false">
      <c r="A34" s="29" t="s">
        <v>59</v>
      </c>
      <c r="B34" s="29"/>
      <c r="C34" s="29"/>
      <c r="D34" s="30"/>
      <c r="E34" s="31" t="n">
        <f aca="false">SUM(E26:E33)</f>
        <v>126.76</v>
      </c>
      <c r="F34" s="31" t="n">
        <f aca="false">SUM(F26:F33)</f>
        <v>11.89</v>
      </c>
      <c r="G34" s="31" t="n">
        <f aca="false">SUM(G26:G33)</f>
        <v>138.65</v>
      </c>
      <c r="H34" s="30"/>
    </row>
    <row r="36" customFormat="false" ht="19.4" hidden="false" customHeight="true" outlineLevel="0" collapsed="false">
      <c r="A36" s="26" t="s">
        <v>60</v>
      </c>
      <c r="B36" s="26"/>
      <c r="C36" s="26"/>
      <c r="D36" s="26"/>
      <c r="E36" s="26"/>
      <c r="F36" s="26"/>
      <c r="G36" s="26"/>
      <c r="H36" s="26"/>
    </row>
  </sheetData>
  <mergeCells count="19">
    <mergeCell ref="A1:H1"/>
    <mergeCell ref="A2:H2"/>
    <mergeCell ref="B4:D4"/>
    <mergeCell ref="F4:H4"/>
    <mergeCell ref="A7:H7"/>
    <mergeCell ref="A11:D11"/>
    <mergeCell ref="A13:H13"/>
    <mergeCell ref="A14:F14"/>
    <mergeCell ref="A15:F15"/>
    <mergeCell ref="A16:F16"/>
    <mergeCell ref="A17:F17"/>
    <mergeCell ref="A18:F18"/>
    <mergeCell ref="A19:F19"/>
    <mergeCell ref="A20:F20"/>
    <mergeCell ref="A21:G21"/>
    <mergeCell ref="A22:H22"/>
    <mergeCell ref="A24:H24"/>
    <mergeCell ref="A34:C34"/>
    <mergeCell ref="A36:H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2026-07-20T01:40:07Z</dcterms:created>
  <dc:creator>openpyxl</dc:creator>
  <dc:description/>
  <dc:language>en-US</dc:language>
  <cp:lastModifiedBy/>
  <dcterms:modified xsi:type="dcterms:W3CDTF">2026-07-20T01:40:07Z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